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60" windowHeight="11560"/>
  </bookViews>
  <sheets>
    <sheet name="SUMIF 1 - 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<sst xmlns="http://schemas.openxmlformats.org/spreadsheetml/2006/main" count="20" uniqueCount="12">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</sst>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_ * #,##0.00_ ;_ * \-#,##0.00_ ;_ * &quot;-&quot;??_ ;_ @_ "/>
    <numFmt numFmtId="177" formatCode="_ * #,##0_ ;_ * \-#,##0_ ;_ * &quot;-&quot;??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177" fontId="0" fillId="0" borderId="1" xfId="49" applyNumberFormat="1" applyFont="1" applyBorder="1"/>
    <xf numFmtId="0" fontId="1" fillId="0" borderId="0" xfId="0" applyFont="1"/>
    <xf numFmtId="0" fontId="0" fillId="2" borderId="2" xfId="0" applyFill="1" applyBorder="1" applyProtection="1">
      <protection locked="0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showGridLines="0" tabSelected="1" workbookViewId="0">
      <selection activeCell="H22" sqref="H22"/>
    </sheetView>
  </sheetViews>
  <sheetFormatPr defaultColWidth="9.140625" defaultRowHeight="16.8" outlineLevelCol="7"/>
  <cols>
    <col min="1" max="1" width="2.4296875" customWidth="1"/>
    <col min="2" max="2" width="7.7109375" customWidth="1"/>
    <col min="4" max="4" width="14.4296875" customWidth="1"/>
    <col min="5" max="5" width="16.5703125" customWidth="1"/>
    <col min="7" max="7" width="12.5703125" customWidth="1"/>
  </cols>
  <sheetData>
    <row r="1" spans="2:5">
      <c r="B1" s="1" t="s">
        <v>0</v>
      </c>
      <c r="C1" s="1" t="s">
        <v>1</v>
      </c>
      <c r="D1" s="1" t="s">
        <v>2</v>
      </c>
      <c r="E1" s="1" t="s">
        <v>3</v>
      </c>
    </row>
    <row r="2" spans="2:5">
      <c r="B2" s="2">
        <v>1</v>
      </c>
      <c r="C2" s="3">
        <v>8000</v>
      </c>
      <c r="D2" s="2" t="s">
        <v>4</v>
      </c>
      <c r="E2" s="2">
        <v>10</v>
      </c>
    </row>
    <row r="3" spans="2:5">
      <c r="B3" s="2">
        <v>2</v>
      </c>
      <c r="C3" s="3">
        <v>11000</v>
      </c>
      <c r="D3" s="2" t="s">
        <v>4</v>
      </c>
      <c r="E3" s="2">
        <v>9</v>
      </c>
    </row>
    <row r="4" spans="2:5">
      <c r="B4" s="2">
        <v>3</v>
      </c>
      <c r="C4" s="3">
        <v>6000</v>
      </c>
      <c r="D4" s="2" t="s">
        <v>5</v>
      </c>
      <c r="E4" s="2">
        <v>5</v>
      </c>
    </row>
    <row r="5" spans="2:5">
      <c r="B5" s="2">
        <v>4</v>
      </c>
      <c r="C5" s="3">
        <v>15000</v>
      </c>
      <c r="D5" s="2" t="s">
        <v>4</v>
      </c>
      <c r="E5" s="2">
        <v>10</v>
      </c>
    </row>
    <row r="6" spans="2:5">
      <c r="B6" s="2">
        <v>5</v>
      </c>
      <c r="C6" s="3">
        <v>10000</v>
      </c>
      <c r="D6" s="2" t="s">
        <v>5</v>
      </c>
      <c r="E6" s="2">
        <v>2</v>
      </c>
    </row>
    <row r="7" spans="2:5">
      <c r="B7" s="2">
        <v>6</v>
      </c>
      <c r="C7" s="3">
        <v>15000</v>
      </c>
      <c r="D7" s="2" t="s">
        <v>4</v>
      </c>
      <c r="E7" s="2">
        <v>5</v>
      </c>
    </row>
    <row r="8" spans="2:5">
      <c r="B8" s="2">
        <v>7</v>
      </c>
      <c r="C8" s="3">
        <v>13000</v>
      </c>
      <c r="D8" s="2" t="s">
        <v>4</v>
      </c>
      <c r="E8" s="2">
        <v>999</v>
      </c>
    </row>
    <row r="9" spans="2:5">
      <c r="B9" s="2">
        <v>8</v>
      </c>
      <c r="C9" s="3">
        <v>8000</v>
      </c>
      <c r="D9" s="2" t="s">
        <v>4</v>
      </c>
      <c r="E9" s="2">
        <v>2</v>
      </c>
    </row>
    <row r="10" spans="2:5">
      <c r="B10" s="2">
        <v>9</v>
      </c>
      <c r="C10" s="3">
        <v>11000</v>
      </c>
      <c r="D10" s="2" t="s">
        <v>5</v>
      </c>
      <c r="E10" s="2">
        <v>5</v>
      </c>
    </row>
    <row r="11" spans="2:5">
      <c r="B11" s="2">
        <v>10</v>
      </c>
      <c r="C11" s="3">
        <v>9000</v>
      </c>
      <c r="D11" s="2" t="s">
        <v>4</v>
      </c>
      <c r="E11" s="2">
        <v>6</v>
      </c>
    </row>
    <row r="14" ht="17.55" spans="2:2">
      <c r="B14" s="4" t="s">
        <v>6</v>
      </c>
    </row>
    <row r="15" ht="17.55" spans="1:8">
      <c r="A15">
        <v>1</v>
      </c>
      <c r="B15" t="s">
        <v>7</v>
      </c>
      <c r="H15" s="5">
        <f>SUMIF(D2:D11,"YES",C2:C11)</f>
        <v>79000</v>
      </c>
    </row>
    <row r="16" ht="17.55" spans="1:8">
      <c r="A16">
        <v>2</v>
      </c>
      <c r="B16" t="s">
        <v>8</v>
      </c>
      <c r="H16" s="5">
        <f>SUMIF(D2:D11,"NO",C2:C11)</f>
        <v>27000</v>
      </c>
    </row>
    <row r="17" ht="17.55"/>
    <row r="18" spans="1:8">
      <c r="A18">
        <v>3</v>
      </c>
      <c r="B18" t="s">
        <v>9</v>
      </c>
      <c r="H18" s="5">
        <f>SUMIF(C2:C11,"&gt;10000",E2:E11)</f>
        <v>1028</v>
      </c>
    </row>
    <row r="19" ht="17.55"/>
    <row r="20" ht="17.55" spans="1:8">
      <c r="A20">
        <v>4</v>
      </c>
      <c r="B20" t="s">
        <v>10</v>
      </c>
      <c r="H20" s="5">
        <f>SUMIF(C2:C11,"&gt;10000")</f>
        <v>65000</v>
      </c>
    </row>
    <row r="21" ht="17.55" spans="1:8">
      <c r="A21">
        <v>5</v>
      </c>
      <c r="B21" t="s">
        <v>11</v>
      </c>
      <c r="H21" s="5">
        <f>SUMIF(C2:C11,"&lt;9500")</f>
        <v>31000</v>
      </c>
    </row>
  </sheetData>
  <sheetProtection sheet="1" objects="1" scenario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SUMIF 1 - Question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Jugal DAKORIA</cp:lastModifiedBy>
  <dcterms:created xsi:type="dcterms:W3CDTF">2021-05-22T00:38:00Z</dcterms:created>
  <dcterms:modified xsi:type="dcterms:W3CDTF">2025-11-03T23:19:18Z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301C8EFF83B114141CEB0869D1651B74_42</vt:lpwstr>
  </property>
  <property fmtid="{D5CDD505-2E9C-101B-9397-08002B2CF9AE}" pid="3" name="KSOProductBuildVer">
    <vt:lpwstr>1033-12.1.23143.23143</vt:lpwstr>
  </property>
</Properties>
</file>